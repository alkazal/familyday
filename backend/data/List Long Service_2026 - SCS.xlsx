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ed\Hari Keluarga\Lexis Hibiscus 2026\"/>
    </mc:Choice>
  </mc:AlternateContent>
  <xr:revisionPtr revIDLastSave="0" documentId="13_ncr:1_{477145D6-1F4A-4E8A-9608-D5A97FD80C13}" xr6:coauthVersionLast="47" xr6:coauthVersionMax="47" xr10:uidLastSave="{00000000-0000-0000-0000-000000000000}"/>
  <bookViews>
    <workbookView xWindow="-120" yWindow="-120" windowWidth="29040" windowHeight="15840" xr2:uid="{2D925577-03E3-4859-A0C8-3A4A7613FDD7}"/>
  </bookViews>
  <sheets>
    <sheet name="Sheet1" sheetId="1" r:id="rId1"/>
  </sheets>
  <definedNames>
    <definedName name="_xlnm.Print_Area" localSheetId="0">Sheet1!$A$1:$J$31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1" l="1"/>
  <c r="H16" i="1"/>
  <c r="H13" i="1"/>
  <c r="H12" i="1"/>
  <c r="H7" i="1"/>
  <c r="G31" i="1"/>
  <c r="H6" i="1"/>
  <c r="H8" i="1"/>
  <c r="H9" i="1"/>
  <c r="H10" i="1"/>
  <c r="H14" i="1"/>
  <c r="H15" i="1"/>
  <c r="H11" i="1"/>
  <c r="H17" i="1"/>
  <c r="H18" i="1"/>
  <c r="H19" i="1"/>
  <c r="H20" i="1"/>
  <c r="H21" i="1"/>
  <c r="H22" i="1"/>
  <c r="H23" i="1"/>
  <c r="H24" i="1"/>
  <c r="J13" i="1"/>
  <c r="G13" i="1"/>
  <c r="J12" i="1"/>
  <c r="G12" i="1"/>
  <c r="J16" i="1"/>
  <c r="G16" i="1"/>
  <c r="J7" i="1"/>
  <c r="G7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1" i="1"/>
  <c r="G11" i="1"/>
  <c r="J15" i="1"/>
  <c r="G15" i="1"/>
  <c r="J14" i="1"/>
  <c r="G14" i="1"/>
  <c r="J10" i="1"/>
  <c r="G10" i="1"/>
  <c r="J9" i="1"/>
  <c r="G9" i="1"/>
  <c r="J8" i="1"/>
  <c r="G8" i="1"/>
  <c r="J6" i="1"/>
  <c r="G6" i="1"/>
</calcChain>
</file>

<file path=xl/sharedStrings.xml><?xml version="1.0" encoding="utf-8"?>
<sst xmlns="http://schemas.openxmlformats.org/spreadsheetml/2006/main" count="95" uniqueCount="76">
  <si>
    <t>No</t>
  </si>
  <si>
    <t>Staff No</t>
  </si>
  <si>
    <t>Name</t>
  </si>
  <si>
    <t>Designation</t>
  </si>
  <si>
    <t>Date Join</t>
  </si>
  <si>
    <t>Division</t>
  </si>
  <si>
    <t>Employment Duration on</t>
  </si>
  <si>
    <t>Date of Birth</t>
  </si>
  <si>
    <t>Age on</t>
  </si>
  <si>
    <t>(Year  /  Month)</t>
  </si>
  <si>
    <t>1</t>
  </si>
  <si>
    <t>EC</t>
  </si>
  <si>
    <t>2</t>
  </si>
  <si>
    <t>STRATEGIC BUSINESS</t>
  </si>
  <si>
    <t>3</t>
  </si>
  <si>
    <t>011</t>
  </si>
  <si>
    <t>Masuri Bte Mohamad</t>
  </si>
  <si>
    <t xml:space="preserve">Senior Executive </t>
  </si>
  <si>
    <t>4</t>
  </si>
  <si>
    <t>R &amp; D</t>
  </si>
  <si>
    <t>5</t>
  </si>
  <si>
    <t>Lead Engineer</t>
  </si>
  <si>
    <t>6</t>
  </si>
  <si>
    <t>Principal Engineer</t>
  </si>
  <si>
    <t>7</t>
  </si>
  <si>
    <t>Senior Executive</t>
  </si>
  <si>
    <t>QA &amp; TRAINING</t>
  </si>
  <si>
    <t>8</t>
  </si>
  <si>
    <t>9</t>
  </si>
  <si>
    <t>10</t>
  </si>
  <si>
    <t>Senior Engineer</t>
  </si>
  <si>
    <t>11</t>
  </si>
  <si>
    <t>12</t>
  </si>
  <si>
    <t>116</t>
  </si>
  <si>
    <t>Shamsulzaman Bin Yusoff</t>
  </si>
  <si>
    <t>13</t>
  </si>
  <si>
    <t>133</t>
  </si>
  <si>
    <t>Mohd Rizal Bin Shaadan</t>
  </si>
  <si>
    <t xml:space="preserve">Senior Engineer </t>
  </si>
  <si>
    <t>14</t>
  </si>
  <si>
    <t>15</t>
  </si>
  <si>
    <t>155</t>
  </si>
  <si>
    <t>Ahmad Razi Bin Md Jidin</t>
  </si>
  <si>
    <t>16</t>
  </si>
  <si>
    <t>17</t>
  </si>
  <si>
    <t>Officer</t>
  </si>
  <si>
    <t>18</t>
  </si>
  <si>
    <t>19</t>
  </si>
  <si>
    <t>CORP. SERVICES    (HRA Dept)</t>
  </si>
  <si>
    <t>Ahmad Fuad Bin Mohd Redza</t>
  </si>
  <si>
    <t>Eruan Bin Abdul Razak</t>
  </si>
  <si>
    <t>Bastian Affendy Bin Marlis</t>
  </si>
  <si>
    <t>Engineer</t>
  </si>
  <si>
    <t>Mohd Ridzuan Bin Ab. Rahim</t>
  </si>
  <si>
    <t>Aircraft Specialist</t>
  </si>
  <si>
    <t>Mariah Tasbi Bte Abd Wahid</t>
  </si>
  <si>
    <t>Group General Manager</t>
  </si>
  <si>
    <t>CORP. SERVICES    (HRA and Legal, Secretarial &amp; Contract Dept)</t>
  </si>
  <si>
    <t>Wan Emilda Bte Wan Ibnurushdi</t>
  </si>
  <si>
    <t>Mohd Syamsul Azfar Bin Sulaiman</t>
  </si>
  <si>
    <t>BUSINESS DEVELOPMENT</t>
  </si>
  <si>
    <t>Mohd Ridzuan Bin Zulkipli</t>
  </si>
  <si>
    <t>Marketing Officer</t>
  </si>
  <si>
    <t>Nasrul Hakim Bin Mohd Tohid @ Tauhid</t>
  </si>
  <si>
    <t>Mohd Isa Bin Wahab</t>
  </si>
  <si>
    <t>Technician</t>
  </si>
  <si>
    <t>Mohamed Arief Bin Abu Bakar</t>
  </si>
  <si>
    <t>Khairul Anwar Bin Sharif</t>
  </si>
  <si>
    <t>Senior General Manager</t>
  </si>
  <si>
    <t>Mohammad Fauzi Bin Hashim</t>
  </si>
  <si>
    <t>Despatch</t>
  </si>
  <si>
    <t>Mimi Salirina Bte Mushardin</t>
  </si>
  <si>
    <t>Assistant Manager</t>
  </si>
  <si>
    <t>Muaz Bin Che Kamarrudin</t>
  </si>
  <si>
    <t>SYSTEM CONSULTANCY SERVICES SDN. BHD. STAFFLIST AS AT 01/09/2026</t>
  </si>
  <si>
    <t>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</si>
</sst>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 /\ mm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C3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14" fontId="1" fillId="2" borderId="3" xfId="0" quotePrefix="1" applyNumberFormat="1" applyFont="1" applyFill="1" applyBorder="1" applyAlignment="1">
      <alignment horizont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4" fontId="2" fillId="4" borderId="4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/>
    <xf numFmtId="14" fontId="2" fillId="0" borderId="8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center" vertical="center"/>
    </xf>
    <xf numFmtId="14" fontId="2" fillId="5" borderId="0" xfId="0" applyNumberFormat="1" applyFont="1" applyFill="1"/>
    <xf numFmtId="0" fontId="2" fillId="0" borderId="0" xfId="0" applyFont="1" applyAlignment="1">
      <alignment horizontal="left" vertical="center"/>
    </xf>
    <xf numFmtId="164" fontId="2" fillId="6" borderId="4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164" fontId="2" fillId="7" borderId="4" xfId="0" applyNumberFormat="1" applyFont="1" applyFill="1" applyBorder="1" applyAlignment="1">
      <alignment horizontal="center" vertical="center" wrapText="1"/>
    </xf>
    <xf numFmtId="0" fontId="2" fillId="7" borderId="0" xfId="0" applyFont="1" applyFill="1"/>
    <xf numFmtId="164" fontId="2" fillId="8" borderId="4" xfId="0" applyNumberFormat="1" applyFont="1" applyFill="1" applyBorder="1" applyAlignment="1">
      <alignment horizontal="center" vertical="center" wrapText="1"/>
    </xf>
    <xf numFmtId="0" fontId="2" fillId="8" borderId="0" xfId="0" applyFont="1" applyFill="1"/>
    <xf numFmtId="164" fontId="2" fillId="9" borderId="4" xfId="0" applyNumberFormat="1" applyFont="1" applyFill="1" applyBorder="1" applyAlignment="1">
      <alignment horizontal="center" vertical="center" wrapText="1"/>
    </xf>
    <xf numFmtId="0" fontId="2" fillId="9" borderId="0" xfId="0" applyFont="1" applyFill="1"/>
    <xf numFmtId="14" fontId="2" fillId="0" borderId="9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164" fontId="2" fillId="8" borderId="7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4" fontId="2" fillId="0" borderId="7" xfId="0" quotePrefix="1" applyNumberFormat="1" applyFont="1" applyBorder="1" applyAlignment="1">
      <alignment horizontal="center" vertical="center"/>
    </xf>
    <xf numFmtId="164" fontId="2" fillId="7" borderId="7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2" fillId="9" borderId="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6933-5A7B-4CA9-A7A0-19A8BBCDA843}">
  <dimension ref="A1:AC887"/>
  <sheetViews>
    <sheetView tabSelected="1" topLeftCell="A19" workbookViewId="0">
      <selection activeCell="I30" sqref="I30"/>
    </sheetView>
  </sheetViews>
  <sheetFormatPr defaultColWidth="14.42578125" defaultRowHeight="12.75" x14ac:dyDescent="0.2"/>
  <cols>
    <col min="1" max="1" width="4.42578125" style="1" customWidth="1"/>
    <col min="2" max="2" width="9.140625" style="1" customWidth="1"/>
    <col min="3" max="3" width="26.7109375" style="3" bestFit="1" customWidth="1"/>
    <col min="4" max="4" width="25.28515625" style="1" bestFit="1" customWidth="1"/>
    <col min="5" max="5" width="13.42578125" style="1" customWidth="1"/>
    <col min="6" max="6" width="20.28515625" style="1" customWidth="1"/>
    <col min="7" max="7" width="16.140625" style="1" bestFit="1" customWidth="1"/>
    <col min="8" max="8" width="16.140625" style="1" customWidth="1"/>
    <col min="9" max="9" width="16.28515625" style="1" customWidth="1"/>
    <col min="10" max="10" width="13.7109375" style="1" bestFit="1" customWidth="1"/>
    <col min="11" max="11" width="11.5703125" style="1" hidden="1" customWidth="1"/>
    <col min="12" max="12" width="9.140625" style="1" customWidth="1"/>
    <col min="13" max="13" width="16.85546875" style="1" customWidth="1"/>
    <col min="14" max="29" width="9.140625" style="1" customWidth="1"/>
    <col min="30" max="16384" width="14.42578125" style="1"/>
  </cols>
  <sheetData>
    <row r="1" spans="1:29" ht="12.75" customHeight="1" x14ac:dyDescent="0.2">
      <c r="A1" s="66" t="s">
        <v>74</v>
      </c>
      <c r="B1" s="67"/>
      <c r="C1" s="67"/>
      <c r="D1" s="67"/>
      <c r="E1" s="67"/>
      <c r="F1" s="67"/>
      <c r="G1" s="67"/>
      <c r="H1" s="67"/>
      <c r="I1" s="67"/>
      <c r="J1" s="67"/>
      <c r="L1" s="2"/>
    </row>
    <row r="2" spans="1:29" ht="12.75" customHeight="1" x14ac:dyDescent="0.2">
      <c r="L2" s="2"/>
    </row>
    <row r="3" spans="1:29" ht="30" customHeight="1" x14ac:dyDescent="0.2">
      <c r="A3" s="4" t="s">
        <v>0</v>
      </c>
      <c r="B3" s="5" t="s">
        <v>1</v>
      </c>
      <c r="C3" s="5" t="s">
        <v>2</v>
      </c>
      <c r="D3" s="4" t="s">
        <v>3</v>
      </c>
      <c r="E3" s="5" t="s">
        <v>4</v>
      </c>
      <c r="F3" s="5" t="s">
        <v>5</v>
      </c>
      <c r="G3" s="5" t="s">
        <v>6</v>
      </c>
      <c r="H3" s="5" t="s">
        <v>6</v>
      </c>
      <c r="I3" s="5" t="s">
        <v>7</v>
      </c>
      <c r="J3" s="5" t="s">
        <v>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2.75" customHeight="1" x14ac:dyDescent="0.2">
      <c r="A4" s="7"/>
      <c r="B4" s="8"/>
      <c r="C4" s="8"/>
      <c r="D4" s="7"/>
      <c r="E4" s="8"/>
      <c r="F4" s="8"/>
      <c r="G4" s="9">
        <v>46266</v>
      </c>
      <c r="H4" s="9">
        <v>45231</v>
      </c>
      <c r="I4" s="8"/>
      <c r="J4" s="9">
        <v>46113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23.25" customHeight="1" x14ac:dyDescent="0.2">
      <c r="A5" s="10"/>
      <c r="B5" s="11"/>
      <c r="C5" s="11"/>
      <c r="D5" s="10"/>
      <c r="E5" s="11"/>
      <c r="F5" s="11"/>
      <c r="G5" s="12" t="s">
        <v>9</v>
      </c>
      <c r="H5" s="12" t="s">
        <v>9</v>
      </c>
      <c r="I5" s="11"/>
      <c r="J5" s="12" t="s">
        <v>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42" customHeight="1" x14ac:dyDescent="0.2">
      <c r="A6" s="13" t="s">
        <v>10</v>
      </c>
      <c r="B6" s="13" t="s">
        <v>15</v>
      </c>
      <c r="C6" s="14" t="s">
        <v>16</v>
      </c>
      <c r="D6" s="15" t="s">
        <v>17</v>
      </c>
      <c r="E6" s="17">
        <v>34547</v>
      </c>
      <c r="F6" s="15" t="s">
        <v>11</v>
      </c>
      <c r="G6" s="46">
        <f t="shared" ref="G6:G24" si="0">SUM(K6-E6)</f>
        <v>11719</v>
      </c>
      <c r="H6" s="46">
        <f t="shared" ref="H6:H24" si="1">SUM(M6-E6)</f>
        <v>10623</v>
      </c>
      <c r="I6" s="17">
        <v>24945</v>
      </c>
      <c r="J6" s="18">
        <f t="shared" ref="J6:J24" si="2">K6-I6</f>
        <v>21321</v>
      </c>
      <c r="K6" s="19">
        <v>46266</v>
      </c>
      <c r="L6" s="2"/>
      <c r="M6" s="44">
        <v>45170</v>
      </c>
    </row>
    <row r="7" spans="1:29" ht="42" customHeight="1" x14ac:dyDescent="0.2">
      <c r="A7" s="13" t="s">
        <v>12</v>
      </c>
      <c r="B7" s="28">
        <v>387</v>
      </c>
      <c r="C7" s="29" t="s">
        <v>67</v>
      </c>
      <c r="D7" s="37" t="s">
        <v>68</v>
      </c>
      <c r="E7" s="56">
        <v>35247</v>
      </c>
      <c r="F7" s="37" t="s">
        <v>19</v>
      </c>
      <c r="G7" s="57">
        <f>SUM(K7-E7)</f>
        <v>11019</v>
      </c>
      <c r="H7" s="57">
        <f>SUM(M7-E7)</f>
        <v>9923</v>
      </c>
      <c r="I7" s="24">
        <v>25534</v>
      </c>
      <c r="J7" s="22">
        <f>K7-I7</f>
        <v>20732</v>
      </c>
      <c r="K7" s="19">
        <v>46266</v>
      </c>
      <c r="L7" s="2"/>
      <c r="M7" s="44">
        <v>45170</v>
      </c>
    </row>
    <row r="8" spans="1:29" ht="42" customHeight="1" x14ac:dyDescent="0.2">
      <c r="A8" s="13" t="s">
        <v>14</v>
      </c>
      <c r="B8" s="20" t="s">
        <v>33</v>
      </c>
      <c r="C8" s="63" t="s">
        <v>34</v>
      </c>
      <c r="D8" s="15" t="s">
        <v>23</v>
      </c>
      <c r="E8" s="17">
        <v>36162</v>
      </c>
      <c r="F8" s="15" t="s">
        <v>19</v>
      </c>
      <c r="G8" s="48">
        <f t="shared" si="0"/>
        <v>10104</v>
      </c>
      <c r="H8" s="48">
        <f t="shared" si="1"/>
        <v>9008</v>
      </c>
      <c r="I8" s="17">
        <v>24050</v>
      </c>
      <c r="J8" s="22">
        <f t="shared" si="2"/>
        <v>22216</v>
      </c>
      <c r="K8" s="19">
        <v>46266</v>
      </c>
      <c r="L8" s="2"/>
      <c r="M8" s="44">
        <v>45170</v>
      </c>
    </row>
    <row r="9" spans="1:29" ht="42" customHeight="1" x14ac:dyDescent="0.2">
      <c r="A9" s="13" t="s">
        <v>18</v>
      </c>
      <c r="B9" s="20" t="s">
        <v>36</v>
      </c>
      <c r="C9" s="21" t="s">
        <v>37</v>
      </c>
      <c r="D9" s="15" t="s">
        <v>38</v>
      </c>
      <c r="E9" s="17">
        <v>36374</v>
      </c>
      <c r="F9" s="15" t="s">
        <v>19</v>
      </c>
      <c r="G9" s="48">
        <f t="shared" si="0"/>
        <v>9892</v>
      </c>
      <c r="H9" s="48">
        <f t="shared" si="1"/>
        <v>8796</v>
      </c>
      <c r="I9" s="24">
        <v>27398</v>
      </c>
      <c r="J9" s="18">
        <f t="shared" si="2"/>
        <v>18868</v>
      </c>
      <c r="K9" s="19">
        <v>46266</v>
      </c>
      <c r="L9" s="2"/>
      <c r="M9" s="44">
        <v>45170</v>
      </c>
    </row>
    <row r="10" spans="1:29" ht="42" customHeight="1" x14ac:dyDescent="0.2">
      <c r="A10" s="13" t="s">
        <v>20</v>
      </c>
      <c r="B10" s="13" t="s">
        <v>41</v>
      </c>
      <c r="C10" s="14" t="s">
        <v>42</v>
      </c>
      <c r="D10" s="15" t="s">
        <v>21</v>
      </c>
      <c r="E10" s="17">
        <v>36811</v>
      </c>
      <c r="F10" s="15" t="s">
        <v>19</v>
      </c>
      <c r="G10" s="48">
        <f t="shared" si="0"/>
        <v>9455</v>
      </c>
      <c r="H10" s="48">
        <f t="shared" si="1"/>
        <v>8359</v>
      </c>
      <c r="I10" s="17">
        <v>28408</v>
      </c>
      <c r="J10" s="18">
        <f t="shared" si="2"/>
        <v>17858</v>
      </c>
      <c r="K10" s="19">
        <v>46266</v>
      </c>
      <c r="L10" s="2"/>
      <c r="M10" s="44">
        <v>45170</v>
      </c>
    </row>
    <row r="11" spans="1:29" ht="42" customHeight="1" x14ac:dyDescent="0.2">
      <c r="A11" s="13" t="s">
        <v>22</v>
      </c>
      <c r="B11" s="23">
        <v>274</v>
      </c>
      <c r="C11" s="27" t="s">
        <v>51</v>
      </c>
      <c r="D11" s="23" t="s">
        <v>21</v>
      </c>
      <c r="E11" s="24">
        <v>36801</v>
      </c>
      <c r="F11" s="15" t="s">
        <v>19</v>
      </c>
      <c r="G11" s="48">
        <f>SUM(K11-E11)</f>
        <v>9465</v>
      </c>
      <c r="H11" s="48">
        <f>SUM(M16-E11)</f>
        <v>8369</v>
      </c>
      <c r="I11" s="17">
        <v>28569</v>
      </c>
      <c r="J11" s="18">
        <f>K11-I11</f>
        <v>17697</v>
      </c>
      <c r="K11" s="19">
        <v>46266</v>
      </c>
      <c r="L11" s="2"/>
      <c r="M11" s="44">
        <v>45170</v>
      </c>
    </row>
    <row r="12" spans="1:29" ht="42" customHeight="1" x14ac:dyDescent="0.2">
      <c r="A12" s="13" t="s">
        <v>24</v>
      </c>
      <c r="B12" s="39">
        <v>438</v>
      </c>
      <c r="C12" s="42" t="s">
        <v>71</v>
      </c>
      <c r="D12" s="60" t="s">
        <v>72</v>
      </c>
      <c r="E12" s="41">
        <v>36220</v>
      </c>
      <c r="F12" s="58" t="s">
        <v>26</v>
      </c>
      <c r="G12" s="62">
        <f>SUM(K12-E12)</f>
        <v>10046</v>
      </c>
      <c r="H12" s="62">
        <f>SUM(M12-E12)</f>
        <v>8950</v>
      </c>
      <c r="I12" s="54">
        <v>27708</v>
      </c>
      <c r="J12" s="38">
        <f t="shared" ref="J12:J13" si="3">K12-I12</f>
        <v>18558</v>
      </c>
      <c r="K12" s="19">
        <v>46266</v>
      </c>
      <c r="L12" s="2"/>
      <c r="M12" s="44">
        <v>45170</v>
      </c>
    </row>
    <row r="13" spans="1:29" ht="42" customHeight="1" x14ac:dyDescent="0.2">
      <c r="A13" s="13" t="s">
        <v>27</v>
      </c>
      <c r="B13" s="40">
        <v>456</v>
      </c>
      <c r="C13" s="42" t="s">
        <v>73</v>
      </c>
      <c r="D13" s="39" t="s">
        <v>52</v>
      </c>
      <c r="E13" s="61">
        <v>37116</v>
      </c>
      <c r="F13" s="40" t="s">
        <v>60</v>
      </c>
      <c r="G13" s="62">
        <f t="shared" ref="G13" si="4">SUM(K13-E13)</f>
        <v>9150</v>
      </c>
      <c r="H13" s="62">
        <f>SUM(M13-E13)</f>
        <v>8054</v>
      </c>
      <c r="I13" s="55">
        <v>28222</v>
      </c>
      <c r="J13" s="38">
        <f t="shared" si="3"/>
        <v>18044</v>
      </c>
      <c r="K13" s="19">
        <v>46266</v>
      </c>
      <c r="L13" s="2"/>
      <c r="M13" s="44">
        <v>45170</v>
      </c>
    </row>
    <row r="14" spans="1:29" ht="42" customHeight="1" x14ac:dyDescent="0.2">
      <c r="A14" s="13" t="s">
        <v>28</v>
      </c>
      <c r="B14" s="16">
        <v>250</v>
      </c>
      <c r="C14" s="14" t="s">
        <v>49</v>
      </c>
      <c r="D14" s="15" t="s">
        <v>25</v>
      </c>
      <c r="E14" s="17">
        <v>37935</v>
      </c>
      <c r="F14" s="15" t="s">
        <v>13</v>
      </c>
      <c r="G14" s="50">
        <f t="shared" si="0"/>
        <v>8331</v>
      </c>
      <c r="H14" s="50">
        <f t="shared" si="1"/>
        <v>7235</v>
      </c>
      <c r="I14" s="17">
        <v>25126</v>
      </c>
      <c r="J14" s="18">
        <f t="shared" si="2"/>
        <v>21140</v>
      </c>
      <c r="K14" s="19">
        <v>46266</v>
      </c>
      <c r="L14" s="2"/>
      <c r="M14" s="44">
        <v>45170</v>
      </c>
    </row>
    <row r="15" spans="1:29" ht="42" customHeight="1" x14ac:dyDescent="0.2">
      <c r="A15" s="13" t="s">
        <v>29</v>
      </c>
      <c r="B15" s="16">
        <v>251</v>
      </c>
      <c r="C15" s="14" t="s">
        <v>50</v>
      </c>
      <c r="D15" s="15" t="s">
        <v>30</v>
      </c>
      <c r="E15" s="17">
        <v>37956</v>
      </c>
      <c r="F15" s="15" t="s">
        <v>19</v>
      </c>
      <c r="G15" s="50">
        <f t="shared" si="0"/>
        <v>8310</v>
      </c>
      <c r="H15" s="50">
        <f t="shared" si="1"/>
        <v>7214</v>
      </c>
      <c r="I15" s="17">
        <v>27199</v>
      </c>
      <c r="J15" s="18">
        <f t="shared" si="2"/>
        <v>19067</v>
      </c>
      <c r="K15" s="19">
        <v>46266</v>
      </c>
      <c r="L15" s="2"/>
      <c r="M15" s="44">
        <v>45170</v>
      </c>
    </row>
    <row r="16" spans="1:29" ht="42" customHeight="1" x14ac:dyDescent="0.2">
      <c r="A16" s="13" t="s">
        <v>31</v>
      </c>
      <c r="B16" s="39">
        <v>389</v>
      </c>
      <c r="C16" s="42" t="s">
        <v>69</v>
      </c>
      <c r="D16" s="58" t="s">
        <v>70</v>
      </c>
      <c r="E16" s="43">
        <v>37932</v>
      </c>
      <c r="F16" s="58" t="s">
        <v>48</v>
      </c>
      <c r="G16" s="59">
        <f>SUM(K16-E16)</f>
        <v>8334</v>
      </c>
      <c r="H16" s="50">
        <f t="shared" si="1"/>
        <v>7238</v>
      </c>
      <c r="I16" s="36">
        <v>26304</v>
      </c>
      <c r="J16" s="18">
        <f>K16-I16</f>
        <v>19962</v>
      </c>
      <c r="K16" s="19">
        <v>46266</v>
      </c>
      <c r="L16" s="2"/>
      <c r="M16" s="44">
        <v>45170</v>
      </c>
    </row>
    <row r="17" spans="1:29" ht="42" customHeight="1" x14ac:dyDescent="0.2">
      <c r="A17" s="13" t="s">
        <v>32</v>
      </c>
      <c r="B17" s="23">
        <v>298</v>
      </c>
      <c r="C17" s="14" t="s">
        <v>53</v>
      </c>
      <c r="D17" s="16" t="s">
        <v>54</v>
      </c>
      <c r="E17" s="17">
        <v>39904</v>
      </c>
      <c r="F17" s="15" t="s">
        <v>19</v>
      </c>
      <c r="G17" s="52">
        <f t="shared" si="0"/>
        <v>6362</v>
      </c>
      <c r="H17" s="52">
        <f t="shared" si="1"/>
        <v>5266</v>
      </c>
      <c r="I17" s="17">
        <v>27462</v>
      </c>
      <c r="J17" s="18">
        <f t="shared" si="2"/>
        <v>18804</v>
      </c>
      <c r="K17" s="19">
        <v>46266</v>
      </c>
      <c r="L17" s="2"/>
      <c r="M17" s="44">
        <v>45170</v>
      </c>
    </row>
    <row r="18" spans="1:29" ht="42" customHeight="1" x14ac:dyDescent="0.2">
      <c r="A18" s="13" t="s">
        <v>35</v>
      </c>
      <c r="B18" s="26">
        <v>301</v>
      </c>
      <c r="C18" s="25" t="s">
        <v>55</v>
      </c>
      <c r="D18" s="15" t="s">
        <v>56</v>
      </c>
      <c r="E18" s="17">
        <v>40189</v>
      </c>
      <c r="F18" s="15" t="s">
        <v>57</v>
      </c>
      <c r="G18" s="52">
        <f t="shared" si="0"/>
        <v>6077</v>
      </c>
      <c r="H18" s="52">
        <f t="shared" si="1"/>
        <v>4981</v>
      </c>
      <c r="I18" s="17">
        <v>24845</v>
      </c>
      <c r="J18" s="18">
        <f t="shared" si="2"/>
        <v>21421</v>
      </c>
      <c r="K18" s="19">
        <v>46266</v>
      </c>
      <c r="L18" s="2"/>
      <c r="M18" s="44">
        <v>45170</v>
      </c>
    </row>
    <row r="19" spans="1:29" s="35" customFormat="1" ht="42" customHeight="1" x14ac:dyDescent="0.2">
      <c r="A19" s="13" t="s">
        <v>39</v>
      </c>
      <c r="B19" s="31">
        <v>308</v>
      </c>
      <c r="C19" s="30" t="s">
        <v>58</v>
      </c>
      <c r="D19" s="32" t="s">
        <v>45</v>
      </c>
      <c r="E19" s="33">
        <v>40330</v>
      </c>
      <c r="F19" s="32" t="s">
        <v>48</v>
      </c>
      <c r="G19" s="52">
        <f t="shared" si="0"/>
        <v>5936</v>
      </c>
      <c r="H19" s="52">
        <f t="shared" si="1"/>
        <v>4840</v>
      </c>
      <c r="I19" s="33">
        <v>30760</v>
      </c>
      <c r="J19" s="18">
        <f t="shared" si="2"/>
        <v>15506</v>
      </c>
      <c r="K19" s="19">
        <v>46266</v>
      </c>
      <c r="L19" s="34"/>
      <c r="M19" s="44">
        <v>45170</v>
      </c>
    </row>
    <row r="20" spans="1:29" ht="42" customHeight="1" x14ac:dyDescent="0.2">
      <c r="A20" s="13" t="s">
        <v>40</v>
      </c>
      <c r="B20" s="16">
        <v>314</v>
      </c>
      <c r="C20" s="14" t="s">
        <v>59</v>
      </c>
      <c r="D20" s="15" t="s">
        <v>25</v>
      </c>
      <c r="E20" s="17">
        <v>40470</v>
      </c>
      <c r="F20" s="15" t="s">
        <v>60</v>
      </c>
      <c r="G20" s="52">
        <f t="shared" si="0"/>
        <v>5796</v>
      </c>
      <c r="H20" s="52">
        <f t="shared" si="1"/>
        <v>4700</v>
      </c>
      <c r="I20" s="17">
        <v>30567</v>
      </c>
      <c r="J20" s="18">
        <f t="shared" si="2"/>
        <v>15699</v>
      </c>
      <c r="K20" s="19">
        <v>46266</v>
      </c>
      <c r="L20" s="2"/>
      <c r="M20" s="44">
        <v>45170</v>
      </c>
    </row>
    <row r="21" spans="1:29" ht="42" customHeight="1" x14ac:dyDescent="0.2">
      <c r="A21" s="13" t="s">
        <v>43</v>
      </c>
      <c r="B21" s="16">
        <v>319</v>
      </c>
      <c r="C21" s="14" t="s">
        <v>61</v>
      </c>
      <c r="D21" s="15" t="s">
        <v>62</v>
      </c>
      <c r="E21" s="17">
        <v>40616</v>
      </c>
      <c r="F21" s="15" t="s">
        <v>60</v>
      </c>
      <c r="G21" s="52">
        <f t="shared" si="0"/>
        <v>5650</v>
      </c>
      <c r="H21" s="52">
        <f t="shared" si="1"/>
        <v>4554</v>
      </c>
      <c r="I21" s="17">
        <v>32127</v>
      </c>
      <c r="J21" s="18">
        <f t="shared" si="2"/>
        <v>14139</v>
      </c>
      <c r="K21" s="19">
        <v>46266</v>
      </c>
      <c r="L21" s="2"/>
      <c r="M21" s="44">
        <v>45170</v>
      </c>
    </row>
    <row r="22" spans="1:29" ht="42" customHeight="1" x14ac:dyDescent="0.2">
      <c r="A22" s="13" t="s">
        <v>44</v>
      </c>
      <c r="B22" s="16">
        <v>325</v>
      </c>
      <c r="C22" s="14" t="s">
        <v>63</v>
      </c>
      <c r="D22" s="15" t="s">
        <v>52</v>
      </c>
      <c r="E22" s="17">
        <v>40679</v>
      </c>
      <c r="F22" s="28" t="s">
        <v>19</v>
      </c>
      <c r="G22" s="52">
        <f t="shared" si="0"/>
        <v>5587</v>
      </c>
      <c r="H22" s="52">
        <f t="shared" si="1"/>
        <v>4491</v>
      </c>
      <c r="I22" s="17">
        <v>31226</v>
      </c>
      <c r="J22" s="22">
        <f t="shared" si="2"/>
        <v>15040</v>
      </c>
      <c r="K22" s="19">
        <v>46266</v>
      </c>
      <c r="L22" s="45"/>
      <c r="M22" s="44">
        <v>45170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42" customHeight="1" x14ac:dyDescent="0.2">
      <c r="A23" s="13" t="s">
        <v>46</v>
      </c>
      <c r="B23" s="16">
        <v>329</v>
      </c>
      <c r="C23" s="30" t="s">
        <v>64</v>
      </c>
      <c r="D23" s="15" t="s">
        <v>65</v>
      </c>
      <c r="E23" s="17">
        <v>40707</v>
      </c>
      <c r="F23" s="37" t="s">
        <v>19</v>
      </c>
      <c r="G23" s="52">
        <f t="shared" si="0"/>
        <v>5559</v>
      </c>
      <c r="H23" s="52">
        <f t="shared" si="1"/>
        <v>4463</v>
      </c>
      <c r="I23" s="17">
        <v>26056</v>
      </c>
      <c r="J23" s="22">
        <f t="shared" si="2"/>
        <v>20210</v>
      </c>
      <c r="K23" s="19">
        <v>46266</v>
      </c>
      <c r="L23" s="2"/>
      <c r="M23" s="44">
        <v>45170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42" customHeight="1" x14ac:dyDescent="0.2">
      <c r="A24" s="13" t="s">
        <v>47</v>
      </c>
      <c r="B24" s="16">
        <v>332</v>
      </c>
      <c r="C24" s="14" t="s">
        <v>66</v>
      </c>
      <c r="D24" s="15" t="s">
        <v>21</v>
      </c>
      <c r="E24" s="64">
        <v>40756</v>
      </c>
      <c r="F24" s="39" t="s">
        <v>19</v>
      </c>
      <c r="G24" s="65">
        <f t="shared" si="0"/>
        <v>5510</v>
      </c>
      <c r="H24" s="52">
        <f t="shared" si="1"/>
        <v>4414</v>
      </c>
      <c r="I24" s="17">
        <v>32315</v>
      </c>
      <c r="J24" s="22">
        <f t="shared" si="2"/>
        <v>13951</v>
      </c>
      <c r="K24" s="19">
        <v>46266</v>
      </c>
      <c r="L24" s="2"/>
      <c r="M24" s="44">
        <v>45170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75" customHeight="1" x14ac:dyDescent="0.2">
      <c r="L25" s="2"/>
    </row>
    <row r="26" spans="1:29" ht="12.75" customHeight="1" x14ac:dyDescent="0.2">
      <c r="H26" s="6" t="s">
        <v>75</v>
      </c>
      <c r="L26" s="2"/>
    </row>
    <row r="27" spans="1:29" ht="12.75" customHeight="1" x14ac:dyDescent="0.2">
      <c r="F27" s="47">
        <v>30</v>
      </c>
      <c r="G27" s="1">
        <v>2</v>
      </c>
      <c r="H27" s="1">
        <v>0</v>
      </c>
      <c r="L27" s="2"/>
    </row>
    <row r="28" spans="1:29" ht="12.75" customHeight="1" x14ac:dyDescent="0.2">
      <c r="F28" s="49">
        <v>25</v>
      </c>
      <c r="G28" s="1">
        <v>6</v>
      </c>
      <c r="H28" s="1">
        <v>2</v>
      </c>
      <c r="L28" s="2"/>
    </row>
    <row r="29" spans="1:29" ht="12.75" customHeight="1" x14ac:dyDescent="0.2">
      <c r="F29" s="51">
        <v>20</v>
      </c>
      <c r="G29" s="1">
        <v>3</v>
      </c>
      <c r="H29" s="1">
        <v>3</v>
      </c>
      <c r="L29" s="2"/>
    </row>
    <row r="30" spans="1:29" ht="12.75" customHeight="1" x14ac:dyDescent="0.2">
      <c r="F30" s="53">
        <v>15</v>
      </c>
      <c r="G30" s="1">
        <v>8</v>
      </c>
      <c r="H30" s="1">
        <v>7</v>
      </c>
      <c r="L30" s="2"/>
    </row>
    <row r="31" spans="1:29" ht="12.75" customHeight="1" x14ac:dyDescent="0.2">
      <c r="G31" s="1">
        <f>SUM(G27:G30)</f>
        <v>19</v>
      </c>
      <c r="H31" s="1">
        <f>SUM(H27:H30)</f>
        <v>12</v>
      </c>
      <c r="L31" s="2"/>
    </row>
    <row r="32" spans="1:29" ht="12.75" customHeight="1" x14ac:dyDescent="0.2">
      <c r="L32" s="2"/>
    </row>
    <row r="33" spans="12:12" ht="12.75" customHeight="1" x14ac:dyDescent="0.2">
      <c r="L33" s="2"/>
    </row>
    <row r="34" spans="12:12" ht="12.75" customHeight="1" x14ac:dyDescent="0.2">
      <c r="L34" s="2"/>
    </row>
    <row r="35" spans="12:12" ht="12.75" customHeight="1" x14ac:dyDescent="0.2">
      <c r="L35" s="2"/>
    </row>
    <row r="36" spans="12:12" ht="12.75" customHeight="1" x14ac:dyDescent="0.2">
      <c r="L36" s="2"/>
    </row>
    <row r="37" spans="12:12" ht="12.75" customHeight="1" x14ac:dyDescent="0.2">
      <c r="L37" s="2"/>
    </row>
    <row r="38" spans="12:12" ht="12.75" customHeight="1" x14ac:dyDescent="0.2">
      <c r="L38" s="2"/>
    </row>
    <row r="39" spans="12:12" ht="12.75" customHeight="1" x14ac:dyDescent="0.2">
      <c r="L39" s="2"/>
    </row>
    <row r="40" spans="12:12" ht="12.75" customHeight="1" x14ac:dyDescent="0.2">
      <c r="L40" s="2"/>
    </row>
    <row r="41" spans="12:12" ht="12.75" customHeight="1" x14ac:dyDescent="0.2">
      <c r="L41" s="2"/>
    </row>
    <row r="42" spans="12:12" ht="12.75" customHeight="1" x14ac:dyDescent="0.2">
      <c r="L42" s="2"/>
    </row>
    <row r="43" spans="12:12" ht="12.75" customHeight="1" x14ac:dyDescent="0.2">
      <c r="L43" s="2"/>
    </row>
    <row r="44" spans="12:12" ht="12.75" customHeight="1" x14ac:dyDescent="0.2">
      <c r="L44" s="2"/>
    </row>
    <row r="45" spans="12:12" ht="12.75" customHeight="1" x14ac:dyDescent="0.2">
      <c r="L45" s="2"/>
    </row>
    <row r="46" spans="12:12" ht="12.75" customHeight="1" x14ac:dyDescent="0.2">
      <c r="L46" s="2"/>
    </row>
    <row r="47" spans="12:12" ht="12.75" customHeight="1" x14ac:dyDescent="0.2">
      <c r="L47" s="2"/>
    </row>
    <row r="48" spans="12:12" ht="12.75" customHeight="1" x14ac:dyDescent="0.2">
      <c r="L48" s="2"/>
    </row>
    <row r="49" spans="12:12" ht="12.75" customHeight="1" x14ac:dyDescent="0.2">
      <c r="L49" s="2"/>
    </row>
    <row r="50" spans="12:12" ht="12.75" customHeight="1" x14ac:dyDescent="0.2">
      <c r="L50" s="2"/>
    </row>
    <row r="51" spans="12:12" ht="12.75" customHeight="1" x14ac:dyDescent="0.2">
      <c r="L51" s="2"/>
    </row>
    <row r="52" spans="12:12" ht="12.75" customHeight="1" x14ac:dyDescent="0.2">
      <c r="L52" s="2"/>
    </row>
    <row r="53" spans="12:12" ht="12.75" customHeight="1" x14ac:dyDescent="0.2">
      <c r="L53" s="2"/>
    </row>
    <row r="54" spans="12:12" ht="12.75" customHeight="1" x14ac:dyDescent="0.2">
      <c r="L54" s="2"/>
    </row>
    <row r="55" spans="12:12" ht="12.75" customHeight="1" x14ac:dyDescent="0.2">
      <c r="L55" s="2"/>
    </row>
    <row r="56" spans="12:12" ht="12.75" customHeight="1" x14ac:dyDescent="0.2">
      <c r="L56" s="2"/>
    </row>
    <row r="57" spans="12:12" ht="12.75" customHeight="1" x14ac:dyDescent="0.2">
      <c r="L57" s="2"/>
    </row>
    <row r="58" spans="12:12" ht="12.75" customHeight="1" x14ac:dyDescent="0.2">
      <c r="L58" s="2"/>
    </row>
    <row r="59" spans="12:12" ht="12.75" customHeight="1" x14ac:dyDescent="0.2">
      <c r="L59" s="2"/>
    </row>
    <row r="60" spans="12:12" ht="12.75" customHeight="1" x14ac:dyDescent="0.2">
      <c r="L60" s="2"/>
    </row>
    <row r="61" spans="12:12" ht="12.75" customHeight="1" x14ac:dyDescent="0.2">
      <c r="L61" s="2"/>
    </row>
    <row r="62" spans="12:12" ht="12.75" customHeight="1" x14ac:dyDescent="0.2">
      <c r="L62" s="2"/>
    </row>
    <row r="63" spans="12:12" ht="12.75" customHeight="1" x14ac:dyDescent="0.2">
      <c r="L63" s="2"/>
    </row>
    <row r="64" spans="12:12" ht="12.75" customHeight="1" x14ac:dyDescent="0.2">
      <c r="L64" s="2"/>
    </row>
    <row r="65" spans="12:12" ht="12.75" customHeight="1" x14ac:dyDescent="0.2">
      <c r="L65" s="2"/>
    </row>
    <row r="66" spans="12:12" ht="12.75" customHeight="1" x14ac:dyDescent="0.2">
      <c r="L66" s="2"/>
    </row>
    <row r="67" spans="12:12" ht="12.75" customHeight="1" x14ac:dyDescent="0.2">
      <c r="L67" s="2"/>
    </row>
    <row r="68" spans="12:12" ht="12.75" customHeight="1" x14ac:dyDescent="0.2">
      <c r="L68" s="2"/>
    </row>
    <row r="69" spans="12:12" ht="12.75" customHeight="1" x14ac:dyDescent="0.2">
      <c r="L69" s="2"/>
    </row>
    <row r="70" spans="12:12" ht="12.75" customHeight="1" x14ac:dyDescent="0.2">
      <c r="L70" s="2"/>
    </row>
    <row r="71" spans="12:12" ht="12.75" customHeight="1" x14ac:dyDescent="0.2">
      <c r="L71" s="2"/>
    </row>
    <row r="72" spans="12:12" ht="12.75" customHeight="1" x14ac:dyDescent="0.2">
      <c r="L72" s="2"/>
    </row>
    <row r="73" spans="12:12" ht="12.75" customHeight="1" x14ac:dyDescent="0.2">
      <c r="L73" s="2"/>
    </row>
    <row r="74" spans="12:12" ht="12.75" customHeight="1" x14ac:dyDescent="0.2">
      <c r="L74" s="2"/>
    </row>
    <row r="75" spans="12:12" ht="12.75" customHeight="1" x14ac:dyDescent="0.2">
      <c r="L75" s="2"/>
    </row>
    <row r="76" spans="12:12" ht="12.75" customHeight="1" x14ac:dyDescent="0.2">
      <c r="L76" s="2"/>
    </row>
    <row r="77" spans="12:12" ht="12.75" customHeight="1" x14ac:dyDescent="0.2">
      <c r="L77" s="2"/>
    </row>
    <row r="78" spans="12:12" ht="12.75" customHeight="1" x14ac:dyDescent="0.2">
      <c r="L78" s="2"/>
    </row>
    <row r="79" spans="12:12" ht="12.75" customHeight="1" x14ac:dyDescent="0.2">
      <c r="L79" s="2"/>
    </row>
    <row r="80" spans="12:12" ht="12.75" customHeight="1" x14ac:dyDescent="0.2">
      <c r="L80" s="2"/>
    </row>
    <row r="81" spans="12:12" ht="12.75" customHeight="1" x14ac:dyDescent="0.2">
      <c r="L81" s="2"/>
    </row>
    <row r="82" spans="12:12" ht="12.75" customHeight="1" x14ac:dyDescent="0.2">
      <c r="L82" s="2"/>
    </row>
    <row r="83" spans="12:12" ht="12.75" customHeight="1" x14ac:dyDescent="0.2">
      <c r="L83" s="2"/>
    </row>
    <row r="84" spans="12:12" ht="12.75" customHeight="1" x14ac:dyDescent="0.2">
      <c r="L84" s="2"/>
    </row>
    <row r="85" spans="12:12" ht="12.75" customHeight="1" x14ac:dyDescent="0.2">
      <c r="L85" s="2"/>
    </row>
    <row r="86" spans="12:12" ht="12.75" customHeight="1" x14ac:dyDescent="0.2">
      <c r="L86" s="2"/>
    </row>
    <row r="87" spans="12:12" ht="12.75" customHeight="1" x14ac:dyDescent="0.2">
      <c r="L87" s="2"/>
    </row>
    <row r="88" spans="12:12" ht="12.75" customHeight="1" x14ac:dyDescent="0.2">
      <c r="L88" s="2"/>
    </row>
    <row r="89" spans="12:12" ht="12.75" customHeight="1" x14ac:dyDescent="0.2">
      <c r="L89" s="2"/>
    </row>
    <row r="90" spans="12:12" ht="12.75" customHeight="1" x14ac:dyDescent="0.2">
      <c r="L90" s="2"/>
    </row>
    <row r="91" spans="12:12" ht="12.75" customHeight="1" x14ac:dyDescent="0.2">
      <c r="L91" s="2"/>
    </row>
    <row r="92" spans="12:12" ht="12.75" customHeight="1" x14ac:dyDescent="0.2">
      <c r="L92" s="2"/>
    </row>
    <row r="93" spans="12:12" ht="12.75" customHeight="1" x14ac:dyDescent="0.2">
      <c r="L93" s="2"/>
    </row>
    <row r="94" spans="12:12" ht="12.75" customHeight="1" x14ac:dyDescent="0.2">
      <c r="L94" s="2"/>
    </row>
    <row r="95" spans="12:12" ht="12.75" customHeight="1" x14ac:dyDescent="0.2">
      <c r="L95" s="2"/>
    </row>
    <row r="96" spans="12:12" ht="12.75" customHeight="1" x14ac:dyDescent="0.2">
      <c r="L96" s="2"/>
    </row>
    <row r="97" spans="12:12" ht="12.75" customHeight="1" x14ac:dyDescent="0.2">
      <c r="L97" s="2"/>
    </row>
    <row r="98" spans="12:12" ht="12.75" customHeight="1" x14ac:dyDescent="0.2">
      <c r="L98" s="2"/>
    </row>
    <row r="99" spans="12:12" ht="12.75" customHeight="1" x14ac:dyDescent="0.2">
      <c r="L99" s="2"/>
    </row>
    <row r="100" spans="12:12" ht="12.75" customHeight="1" x14ac:dyDescent="0.2">
      <c r="L100" s="2"/>
    </row>
    <row r="101" spans="12:12" ht="12.75" customHeight="1" x14ac:dyDescent="0.2">
      <c r="L101" s="2"/>
    </row>
    <row r="102" spans="12:12" ht="12.75" customHeight="1" x14ac:dyDescent="0.2">
      <c r="L102" s="2"/>
    </row>
    <row r="103" spans="12:12" ht="12.75" customHeight="1" x14ac:dyDescent="0.2">
      <c r="L103" s="2"/>
    </row>
    <row r="104" spans="12:12" ht="12.75" customHeight="1" x14ac:dyDescent="0.2">
      <c r="L104" s="2"/>
    </row>
    <row r="105" spans="12:12" ht="12.75" customHeight="1" x14ac:dyDescent="0.2">
      <c r="L105" s="2"/>
    </row>
    <row r="106" spans="12:12" ht="12.75" customHeight="1" x14ac:dyDescent="0.2">
      <c r="L106" s="2"/>
    </row>
    <row r="107" spans="12:12" ht="12.75" customHeight="1" x14ac:dyDescent="0.2">
      <c r="L107" s="2"/>
    </row>
    <row r="108" spans="12:12" ht="12.75" customHeight="1" x14ac:dyDescent="0.2">
      <c r="L108" s="2"/>
    </row>
    <row r="109" spans="12:12" ht="12.75" customHeight="1" x14ac:dyDescent="0.2">
      <c r="L109" s="2"/>
    </row>
    <row r="110" spans="12:12" ht="12.75" customHeight="1" x14ac:dyDescent="0.2">
      <c r="L110" s="2"/>
    </row>
    <row r="111" spans="12:12" ht="12.75" customHeight="1" x14ac:dyDescent="0.2">
      <c r="L111" s="2"/>
    </row>
    <row r="112" spans="12:12" ht="12.75" customHeight="1" x14ac:dyDescent="0.2">
      <c r="L112" s="2"/>
    </row>
    <row r="113" spans="12:12" ht="12.75" customHeight="1" x14ac:dyDescent="0.2">
      <c r="L113" s="2"/>
    </row>
    <row r="114" spans="12:12" ht="12.75" customHeight="1" x14ac:dyDescent="0.2">
      <c r="L114" s="2"/>
    </row>
    <row r="115" spans="12:12" ht="12.75" customHeight="1" x14ac:dyDescent="0.2">
      <c r="L115" s="2"/>
    </row>
    <row r="116" spans="12:12" ht="12.75" customHeight="1" x14ac:dyDescent="0.2">
      <c r="L116" s="2"/>
    </row>
    <row r="117" spans="12:12" ht="12.75" customHeight="1" x14ac:dyDescent="0.2">
      <c r="L117" s="2"/>
    </row>
    <row r="118" spans="12:12" ht="12.75" customHeight="1" x14ac:dyDescent="0.2">
      <c r="L118" s="2"/>
    </row>
    <row r="119" spans="12:12" ht="12.75" customHeight="1" x14ac:dyDescent="0.2">
      <c r="L119" s="2"/>
    </row>
    <row r="120" spans="12:12" ht="12.75" customHeight="1" x14ac:dyDescent="0.2">
      <c r="L120" s="2"/>
    </row>
    <row r="121" spans="12:12" ht="12.75" customHeight="1" x14ac:dyDescent="0.2">
      <c r="L121" s="2"/>
    </row>
    <row r="122" spans="12:12" ht="12.75" customHeight="1" x14ac:dyDescent="0.2">
      <c r="L122" s="2"/>
    </row>
    <row r="123" spans="12:12" ht="12.75" customHeight="1" x14ac:dyDescent="0.2">
      <c r="L123" s="2"/>
    </row>
    <row r="124" spans="12:12" ht="12.75" customHeight="1" x14ac:dyDescent="0.2">
      <c r="L124" s="2"/>
    </row>
    <row r="125" spans="12:12" ht="12.75" customHeight="1" x14ac:dyDescent="0.2">
      <c r="L125" s="2"/>
    </row>
    <row r="126" spans="12:12" ht="12.75" customHeight="1" x14ac:dyDescent="0.2">
      <c r="L126" s="2"/>
    </row>
    <row r="127" spans="12:12" ht="12.75" customHeight="1" x14ac:dyDescent="0.2">
      <c r="L127" s="2"/>
    </row>
    <row r="128" spans="12:12" ht="12.75" customHeight="1" x14ac:dyDescent="0.2">
      <c r="L128" s="2"/>
    </row>
    <row r="129" spans="12:12" ht="12.75" customHeight="1" x14ac:dyDescent="0.2">
      <c r="L129" s="2"/>
    </row>
    <row r="130" spans="12:12" ht="12.75" customHeight="1" x14ac:dyDescent="0.2">
      <c r="L130" s="2"/>
    </row>
    <row r="131" spans="12:12" ht="12.75" customHeight="1" x14ac:dyDescent="0.2">
      <c r="L131" s="2"/>
    </row>
    <row r="132" spans="12:12" ht="12.75" customHeight="1" x14ac:dyDescent="0.2">
      <c r="L132" s="2"/>
    </row>
    <row r="133" spans="12:12" ht="12.75" customHeight="1" x14ac:dyDescent="0.2">
      <c r="L133" s="2"/>
    </row>
    <row r="134" spans="12:12" ht="12.75" customHeight="1" x14ac:dyDescent="0.2">
      <c r="L134" s="2"/>
    </row>
    <row r="135" spans="12:12" ht="12.75" customHeight="1" x14ac:dyDescent="0.2">
      <c r="L135" s="2"/>
    </row>
    <row r="136" spans="12:12" ht="12.75" customHeight="1" x14ac:dyDescent="0.2">
      <c r="L136" s="2"/>
    </row>
    <row r="137" spans="12:12" ht="12.75" customHeight="1" x14ac:dyDescent="0.2">
      <c r="L137" s="2"/>
    </row>
    <row r="138" spans="12:12" ht="12.75" customHeight="1" x14ac:dyDescent="0.2">
      <c r="L138" s="2"/>
    </row>
    <row r="139" spans="12:12" ht="12.75" customHeight="1" x14ac:dyDescent="0.2">
      <c r="L139" s="2"/>
    </row>
    <row r="140" spans="12:12" ht="12.75" customHeight="1" x14ac:dyDescent="0.2">
      <c r="L140" s="2"/>
    </row>
    <row r="141" spans="12:12" ht="12.75" customHeight="1" x14ac:dyDescent="0.2">
      <c r="L141" s="2"/>
    </row>
    <row r="142" spans="12:12" ht="12.75" customHeight="1" x14ac:dyDescent="0.2">
      <c r="L142" s="2"/>
    </row>
    <row r="143" spans="12:12" ht="12.75" customHeight="1" x14ac:dyDescent="0.2">
      <c r="L143" s="2"/>
    </row>
    <row r="144" spans="12:12" ht="12.75" customHeight="1" x14ac:dyDescent="0.2">
      <c r="L144" s="2"/>
    </row>
    <row r="145" spans="12:12" ht="12.75" customHeight="1" x14ac:dyDescent="0.2">
      <c r="L145" s="2"/>
    </row>
    <row r="146" spans="12:12" ht="12.75" customHeight="1" x14ac:dyDescent="0.2">
      <c r="L146" s="2"/>
    </row>
    <row r="147" spans="12:12" ht="12.75" customHeight="1" x14ac:dyDescent="0.2">
      <c r="L147" s="2"/>
    </row>
    <row r="148" spans="12:12" ht="12.75" customHeight="1" x14ac:dyDescent="0.2">
      <c r="L148" s="2"/>
    </row>
    <row r="149" spans="12:12" ht="12.75" customHeight="1" x14ac:dyDescent="0.2">
      <c r="L149" s="2"/>
    </row>
    <row r="150" spans="12:12" ht="12.75" customHeight="1" x14ac:dyDescent="0.2">
      <c r="L150" s="2"/>
    </row>
    <row r="151" spans="12:12" ht="12.75" customHeight="1" x14ac:dyDescent="0.2">
      <c r="L151" s="2"/>
    </row>
    <row r="152" spans="12:12" ht="12.75" customHeight="1" x14ac:dyDescent="0.2">
      <c r="L152" s="2"/>
    </row>
    <row r="153" spans="12:12" ht="12.75" customHeight="1" x14ac:dyDescent="0.2">
      <c r="L153" s="2"/>
    </row>
    <row r="154" spans="12:12" ht="12.75" customHeight="1" x14ac:dyDescent="0.2">
      <c r="L154" s="2"/>
    </row>
    <row r="155" spans="12:12" ht="12.75" customHeight="1" x14ac:dyDescent="0.2">
      <c r="L155" s="2"/>
    </row>
    <row r="156" spans="12:12" ht="12.75" customHeight="1" x14ac:dyDescent="0.2">
      <c r="L156" s="2"/>
    </row>
    <row r="157" spans="12:12" ht="12.75" customHeight="1" x14ac:dyDescent="0.2">
      <c r="L157" s="2"/>
    </row>
    <row r="158" spans="12:12" ht="12.75" customHeight="1" x14ac:dyDescent="0.2">
      <c r="L158" s="2"/>
    </row>
    <row r="159" spans="12:12" ht="12.75" customHeight="1" x14ac:dyDescent="0.2">
      <c r="L159" s="2"/>
    </row>
    <row r="160" spans="12:12" ht="12.75" customHeight="1" x14ac:dyDescent="0.2">
      <c r="L160" s="2"/>
    </row>
    <row r="161" spans="12:12" ht="12.75" customHeight="1" x14ac:dyDescent="0.2">
      <c r="L161" s="2"/>
    </row>
    <row r="162" spans="12:12" ht="12.75" customHeight="1" x14ac:dyDescent="0.2">
      <c r="L162" s="2"/>
    </row>
    <row r="163" spans="12:12" ht="12.75" customHeight="1" x14ac:dyDescent="0.2">
      <c r="L163" s="2"/>
    </row>
    <row r="164" spans="12:12" ht="12.75" customHeight="1" x14ac:dyDescent="0.2">
      <c r="L164" s="2"/>
    </row>
    <row r="165" spans="12:12" ht="12.75" customHeight="1" x14ac:dyDescent="0.2">
      <c r="L165" s="2"/>
    </row>
    <row r="166" spans="12:12" ht="12.75" customHeight="1" x14ac:dyDescent="0.2">
      <c r="L166" s="2"/>
    </row>
    <row r="167" spans="12:12" ht="12.75" customHeight="1" x14ac:dyDescent="0.2">
      <c r="L167" s="2"/>
    </row>
    <row r="168" spans="12:12" ht="12.75" customHeight="1" x14ac:dyDescent="0.2">
      <c r="L168" s="2"/>
    </row>
    <row r="169" spans="12:12" ht="12.75" customHeight="1" x14ac:dyDescent="0.2">
      <c r="L169" s="2"/>
    </row>
    <row r="170" spans="12:12" ht="12.75" customHeight="1" x14ac:dyDescent="0.2">
      <c r="L170" s="2"/>
    </row>
    <row r="171" spans="12:12" ht="12.75" customHeight="1" x14ac:dyDescent="0.2">
      <c r="L171" s="2"/>
    </row>
    <row r="172" spans="12:12" ht="12.75" customHeight="1" x14ac:dyDescent="0.2">
      <c r="L172" s="2"/>
    </row>
    <row r="173" spans="12:12" ht="12.75" customHeight="1" x14ac:dyDescent="0.2">
      <c r="L173" s="2"/>
    </row>
    <row r="174" spans="12:12" ht="12.75" customHeight="1" x14ac:dyDescent="0.2">
      <c r="L174" s="2"/>
    </row>
    <row r="175" spans="12:12" ht="12.75" customHeight="1" x14ac:dyDescent="0.2">
      <c r="L175" s="2"/>
    </row>
    <row r="176" spans="12:12" ht="12.75" customHeight="1" x14ac:dyDescent="0.2">
      <c r="L176" s="2"/>
    </row>
    <row r="177" spans="12:12" ht="12.75" customHeight="1" x14ac:dyDescent="0.2">
      <c r="L177" s="2"/>
    </row>
    <row r="178" spans="12:12" ht="12.75" customHeight="1" x14ac:dyDescent="0.2">
      <c r="L178" s="2"/>
    </row>
    <row r="179" spans="12:12" ht="12.75" customHeight="1" x14ac:dyDescent="0.2">
      <c r="L179" s="2"/>
    </row>
    <row r="180" spans="12:12" ht="12.75" customHeight="1" x14ac:dyDescent="0.2">
      <c r="L180" s="2"/>
    </row>
    <row r="181" spans="12:12" ht="12.75" customHeight="1" x14ac:dyDescent="0.2">
      <c r="L181" s="2"/>
    </row>
    <row r="182" spans="12:12" ht="12.75" customHeight="1" x14ac:dyDescent="0.2">
      <c r="L182" s="2"/>
    </row>
    <row r="183" spans="12:12" ht="12.75" customHeight="1" x14ac:dyDescent="0.2">
      <c r="L183" s="2"/>
    </row>
    <row r="184" spans="12:12" ht="12.75" customHeight="1" x14ac:dyDescent="0.2">
      <c r="L184" s="2"/>
    </row>
    <row r="185" spans="12:12" ht="12.75" customHeight="1" x14ac:dyDescent="0.2">
      <c r="L185" s="2"/>
    </row>
    <row r="186" spans="12:12" ht="12.75" customHeight="1" x14ac:dyDescent="0.2">
      <c r="L186" s="2"/>
    </row>
    <row r="187" spans="12:12" ht="12.75" customHeight="1" x14ac:dyDescent="0.2">
      <c r="L187" s="2"/>
    </row>
    <row r="188" spans="12:12" ht="12.75" customHeight="1" x14ac:dyDescent="0.2">
      <c r="L188" s="2"/>
    </row>
    <row r="189" spans="12:12" ht="12.75" customHeight="1" x14ac:dyDescent="0.2">
      <c r="L189" s="2"/>
    </row>
    <row r="190" spans="12:12" ht="12.75" customHeight="1" x14ac:dyDescent="0.2">
      <c r="L190" s="2"/>
    </row>
    <row r="191" spans="12:12" ht="12.75" customHeight="1" x14ac:dyDescent="0.2">
      <c r="L191" s="2"/>
    </row>
    <row r="192" spans="12:12" ht="12.75" customHeight="1" x14ac:dyDescent="0.2">
      <c r="L192" s="2"/>
    </row>
    <row r="193" spans="12:12" ht="12.75" customHeight="1" x14ac:dyDescent="0.2">
      <c r="L193" s="2"/>
    </row>
    <row r="194" spans="12:12" ht="12.75" customHeight="1" x14ac:dyDescent="0.2">
      <c r="L194" s="2"/>
    </row>
    <row r="195" spans="12:12" ht="12.75" customHeight="1" x14ac:dyDescent="0.2">
      <c r="L195" s="2"/>
    </row>
    <row r="196" spans="12:12" ht="12.75" customHeight="1" x14ac:dyDescent="0.2">
      <c r="L196" s="2"/>
    </row>
    <row r="197" spans="12:12" ht="15.75" customHeight="1" x14ac:dyDescent="0.2"/>
    <row r="198" spans="12:12" ht="15.75" customHeight="1" x14ac:dyDescent="0.2"/>
    <row r="199" spans="12:12" ht="15.75" customHeight="1" x14ac:dyDescent="0.2"/>
    <row r="200" spans="12:12" ht="15.75" customHeight="1" x14ac:dyDescent="0.2"/>
    <row r="201" spans="12:12" ht="15.75" customHeight="1" x14ac:dyDescent="0.2"/>
    <row r="202" spans="12:12" ht="15.75" customHeight="1" x14ac:dyDescent="0.2"/>
    <row r="203" spans="12:12" ht="15.75" customHeight="1" x14ac:dyDescent="0.2"/>
    <row r="204" spans="12:12" ht="15.75" customHeight="1" x14ac:dyDescent="0.2"/>
    <row r="205" spans="12:12" ht="15.75" customHeight="1" x14ac:dyDescent="0.2"/>
    <row r="206" spans="12:12" ht="15.75" customHeight="1" x14ac:dyDescent="0.2"/>
    <row r="207" spans="12:12" ht="15.75" customHeight="1" x14ac:dyDescent="0.2"/>
    <row r="208" spans="12:1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" customHeight="1" x14ac:dyDescent="0.2"/>
  </sheetData>
  <mergeCells count="1">
    <mergeCell ref="A1:J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alpacinos79@outlook.com</dc:creator>
  <cp:lastModifiedBy>alpacinos79@outlook.com</cp:lastModifiedBy>
  <cp:lastPrinted>2026-05-08T07:03:46Z</cp:lastPrinted>
  <dcterms:created xsi:type="dcterms:W3CDTF">2026-05-06T03:27:58Z</dcterms:created>
  <dcterms:modified xsi:type="dcterms:W3CDTF">2026-05-11T09:16:17Z</dcterms:modified>
</cp:coreProperties>
</file>