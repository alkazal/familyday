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ed\Hari Keluarga\Lexis Hibiscus 2026\"/>
    </mc:Choice>
  </mc:AlternateContent>
  <xr:revisionPtr revIDLastSave="0" documentId="8_{B200874C-5D2D-4396-BBC6-5938C5B66C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Titles" localSheetId="0">Sheet1!$2:$2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F22" i="1"/>
  <c r="H22" i="1" s="1"/>
  <c r="I21" i="1"/>
  <c r="F21" i="1"/>
  <c r="H21" i="1" s="1"/>
  <c r="I20" i="1"/>
  <c r="F20" i="1"/>
  <c r="H20" i="1" s="1"/>
  <c r="I19" i="1"/>
  <c r="F19" i="1"/>
  <c r="H19" i="1" s="1"/>
  <c r="I18" i="1"/>
  <c r="F18" i="1"/>
  <c r="H18" i="1" s="1"/>
  <c r="I17" i="1"/>
  <c r="F17" i="1"/>
  <c r="H17" i="1" s="1"/>
  <c r="I11" i="1"/>
  <c r="F11" i="1"/>
  <c r="H11" i="1" s="1"/>
  <c r="I13" i="1"/>
  <c r="F13" i="1"/>
  <c r="H13" i="1" s="1"/>
  <c r="I12" i="1"/>
  <c r="F12" i="1"/>
  <c r="H12" i="1" s="1"/>
  <c r="I8" i="1"/>
  <c r="F8" i="1"/>
  <c r="H8" i="1" s="1"/>
  <c r="I7" i="1"/>
  <c r="F7" i="1"/>
  <c r="H7" i="1" s="1"/>
  <c r="I16" i="1" l="1"/>
  <c r="F16" i="1"/>
  <c r="H16" i="1" l="1"/>
</calcChain>
</file>

<file path=xl/sharedStrings.xml><?xml version="1.0" encoding="utf-8"?>
<sst xmlns="http://schemas.openxmlformats.org/spreadsheetml/2006/main" count="113" uniqueCount="61">
  <si>
    <t>MOHD HAZLI BIN ISMAIL</t>
  </si>
  <si>
    <t>Assistant Manager</t>
  </si>
  <si>
    <t>Senior Technical Executive</t>
  </si>
  <si>
    <t>Lead Engineer</t>
  </si>
  <si>
    <t>SITI JUSFINA BINTI MOHD TAJUDDIN</t>
  </si>
  <si>
    <t>NAFIQAH BINTI MOHAMED</t>
  </si>
  <si>
    <t>NOOR AZLIZA BT AB RANI</t>
  </si>
  <si>
    <t>TODAY</t>
  </si>
  <si>
    <t>DINNER</t>
  </si>
  <si>
    <t>LONG SERVICES 25 YEARS</t>
  </si>
  <si>
    <t>LONG SERVICES 20 YEARS</t>
  </si>
  <si>
    <t>LONG SERVICES 15 YEARS</t>
  </si>
  <si>
    <t>YOS at DINNER</t>
  </si>
  <si>
    <t>YOS(Today)</t>
  </si>
  <si>
    <t>SES 023</t>
  </si>
  <si>
    <t>SES 024</t>
  </si>
  <si>
    <t>SES 035</t>
  </si>
  <si>
    <t>SES 036</t>
  </si>
  <si>
    <t>NAME</t>
  </si>
  <si>
    <t>DESIGNATION</t>
  </si>
  <si>
    <t>DATE JOIN</t>
  </si>
  <si>
    <t>NO.</t>
  </si>
  <si>
    <t>STAFF NO.</t>
  </si>
  <si>
    <t>25- 26 Years</t>
  </si>
  <si>
    <t>20-24 Years</t>
  </si>
  <si>
    <t xml:space="preserve"> 14-19 Years</t>
  </si>
  <si>
    <t>29-30 Years</t>
  </si>
  <si>
    <t>LONG SERVICES 30 YEARS</t>
  </si>
  <si>
    <t>SES 034</t>
  </si>
  <si>
    <t>SHUIB BIN ABDUL KARIM</t>
  </si>
  <si>
    <t>Manager - Grade 3</t>
  </si>
  <si>
    <t>Technical Executive - Grade 1</t>
  </si>
  <si>
    <t>MOHD AZAMI BIN HUSSAIN</t>
  </si>
  <si>
    <t>SES 045</t>
  </si>
  <si>
    <t>MOHD BUKHORI BIN ZUBAIRI</t>
  </si>
  <si>
    <t>SES 046</t>
  </si>
  <si>
    <t>MOHD REDUAN BIN AZMAN</t>
  </si>
  <si>
    <t>SES 047</t>
  </si>
  <si>
    <t>WAN ARIF AMIR MUHAMMAD BIN WAHID</t>
  </si>
  <si>
    <t>SES 050</t>
  </si>
  <si>
    <t>Assistant Manager - Grade 2</t>
  </si>
  <si>
    <t>WAN NASHRIQ ISKANDAR BIN WAN MUSTAPHA</t>
  </si>
  <si>
    <t>ADENAN BIN IBRAHIM</t>
  </si>
  <si>
    <t>AWANG SAFUAN BIN MATYASIN</t>
  </si>
  <si>
    <t>SES 051</t>
  </si>
  <si>
    <t>SES 052</t>
  </si>
  <si>
    <t>SES 053</t>
  </si>
  <si>
    <t>Technical Executive - Grade 2</t>
  </si>
  <si>
    <t>LONG SERVICES AWARDS 2026</t>
  </si>
  <si>
    <t>REMARKS FD 2022</t>
  </si>
  <si>
    <t>REMARKS ANNUAL DINNER 2023</t>
  </si>
  <si>
    <t>N/A</t>
  </si>
  <si>
    <t>REMARKS ANNUAL DINNER 2019</t>
  </si>
  <si>
    <t>REMARKS FD 2026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</si>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</sst>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5" fontId="0" fillId="7" borderId="1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90" zoomScaleNormal="90" workbookViewId="0">
      <selection activeCell="C26" sqref="C26"/>
    </sheetView>
  </sheetViews>
  <sheetFormatPr defaultRowHeight="15" x14ac:dyDescent="0.25"/>
  <cols>
    <col min="1" max="1" width="5.28515625" style="1" customWidth="1"/>
    <col min="2" max="2" width="13.140625" style="1" customWidth="1"/>
    <col min="3" max="3" width="29.7109375" style="2" customWidth="1"/>
    <col min="4" max="4" width="21.85546875" style="5" customWidth="1"/>
    <col min="5" max="7" width="13.5703125" style="1" customWidth="1"/>
    <col min="8" max="8" width="13.5703125" style="1" hidden="1" customWidth="1"/>
    <col min="9" max="9" width="15.140625" style="1" customWidth="1"/>
    <col min="10" max="13" width="15" style="1" customWidth="1"/>
  </cols>
  <sheetData>
    <row r="1" spans="1:13" ht="31.5" customHeight="1" x14ac:dyDescent="0.25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6"/>
      <c r="K1" s="6"/>
      <c r="L1" s="6"/>
      <c r="M1" s="6"/>
    </row>
    <row r="2" spans="1:13" s="1" customFormat="1" ht="45.75" customHeight="1" x14ac:dyDescent="0.25">
      <c r="A2" s="10" t="s">
        <v>21</v>
      </c>
      <c r="B2" s="8" t="s">
        <v>22</v>
      </c>
      <c r="C2" s="8" t="s">
        <v>18</v>
      </c>
      <c r="D2" s="8" t="s">
        <v>19</v>
      </c>
      <c r="E2" s="8" t="s">
        <v>20</v>
      </c>
      <c r="F2" s="8" t="s">
        <v>7</v>
      </c>
      <c r="G2" s="8" t="s">
        <v>8</v>
      </c>
      <c r="H2" s="8" t="s">
        <v>13</v>
      </c>
      <c r="I2" s="8" t="s">
        <v>12</v>
      </c>
      <c r="J2" s="15" t="s">
        <v>52</v>
      </c>
      <c r="K2" s="12" t="s">
        <v>49</v>
      </c>
      <c r="L2" s="13" t="s">
        <v>50</v>
      </c>
      <c r="M2" s="16" t="s">
        <v>53</v>
      </c>
    </row>
    <row r="3" spans="1:13" s="1" customFormat="1" ht="15" customHeight="1" x14ac:dyDescent="0.25">
      <c r="A3" s="21" t="s">
        <v>26</v>
      </c>
      <c r="B3" s="21"/>
      <c r="C3" s="19" t="s">
        <v>27</v>
      </c>
      <c r="D3" s="19"/>
      <c r="E3" s="19"/>
      <c r="F3" s="19"/>
      <c r="G3" s="19"/>
      <c r="H3" s="19"/>
      <c r="I3" s="19"/>
      <c r="J3" s="22"/>
      <c r="K3" s="22"/>
      <c r="L3" s="22"/>
      <c r="M3" s="22"/>
    </row>
    <row r="4" spans="1:13" s="1" customFormat="1" x14ac:dyDescent="0.25">
      <c r="A4" s="20"/>
      <c r="B4" s="20"/>
      <c r="C4" s="18"/>
      <c r="D4" s="18"/>
      <c r="E4" s="18"/>
      <c r="F4" s="18"/>
      <c r="G4" s="18"/>
      <c r="H4" s="18"/>
      <c r="I4" s="18"/>
      <c r="J4" s="23"/>
      <c r="K4" s="23"/>
      <c r="L4" s="23"/>
      <c r="M4" s="23"/>
    </row>
    <row r="5" spans="1:13" s="1" customFormat="1" x14ac:dyDescent="0.25">
      <c r="A5" s="20" t="s">
        <v>23</v>
      </c>
      <c r="B5" s="20"/>
      <c r="C5" s="19" t="s">
        <v>9</v>
      </c>
      <c r="D5" s="19"/>
      <c r="E5" s="19"/>
      <c r="F5" s="19"/>
      <c r="G5" s="19"/>
      <c r="H5" s="19"/>
      <c r="I5" s="19"/>
      <c r="J5" s="22"/>
      <c r="K5" s="22"/>
      <c r="L5" s="22"/>
      <c r="M5" s="22"/>
    </row>
    <row r="6" spans="1:13" s="1" customFormat="1" x14ac:dyDescent="0.25">
      <c r="A6" s="20"/>
      <c r="B6" s="20"/>
      <c r="C6" s="18"/>
      <c r="D6" s="18"/>
      <c r="E6" s="18"/>
      <c r="F6" s="18"/>
      <c r="G6" s="18"/>
      <c r="H6" s="18"/>
      <c r="I6" s="18"/>
      <c r="J6" s="23"/>
      <c r="K6" s="23"/>
      <c r="L6" s="23"/>
      <c r="M6" s="23"/>
    </row>
    <row r="7" spans="1:13" ht="30" x14ac:dyDescent="0.25">
      <c r="A7" s="7">
        <v>1</v>
      </c>
      <c r="B7" s="9" t="s">
        <v>14</v>
      </c>
      <c r="C7" s="24" t="s">
        <v>4</v>
      </c>
      <c r="D7" s="4" t="s">
        <v>3</v>
      </c>
      <c r="E7" s="3">
        <v>36434</v>
      </c>
      <c r="F7" s="3">
        <f t="shared" ref="F7:F22" ca="1" si="0">TODAY()</f>
        <v>46153</v>
      </c>
      <c r="G7" s="3">
        <v>46265</v>
      </c>
      <c r="H7" s="3" t="str">
        <f t="shared" ref="H7:H8" ca="1" si="1">DATEDIF(E7,F7,"y") &amp; "y"  &amp; DATEDIF(E7,F7,"YM") &amp; "m"</f>
        <v>26y7m</v>
      </c>
      <c r="I7" s="3" t="str">
        <f t="shared" ref="I7:I8" si="2">DATEDIF(E7,G7,"y") &amp; "y"  &amp; DATEDIF(E7,G7,"YM") &amp; "m"</f>
        <v>26y10m</v>
      </c>
      <c r="J7" s="14" t="s">
        <v>51</v>
      </c>
      <c r="K7" s="11" t="s">
        <v>10</v>
      </c>
      <c r="L7" s="14" t="s">
        <v>51</v>
      </c>
      <c r="M7" s="11" t="s">
        <v>9</v>
      </c>
    </row>
    <row r="8" spans="1:13" ht="25.5" x14ac:dyDescent="0.25">
      <c r="A8" s="7">
        <v>2</v>
      </c>
      <c r="B8" s="7" t="s">
        <v>15</v>
      </c>
      <c r="C8" s="24" t="s">
        <v>5</v>
      </c>
      <c r="D8" s="4" t="s">
        <v>3</v>
      </c>
      <c r="E8" s="3">
        <v>36434</v>
      </c>
      <c r="F8" s="3">
        <f t="shared" ca="1" si="0"/>
        <v>46153</v>
      </c>
      <c r="G8" s="3">
        <v>46265</v>
      </c>
      <c r="H8" s="3" t="str">
        <f t="shared" ca="1" si="1"/>
        <v>26y7m</v>
      </c>
      <c r="I8" s="3" t="str">
        <f t="shared" si="2"/>
        <v>26y10m</v>
      </c>
      <c r="J8" s="14" t="s">
        <v>51</v>
      </c>
      <c r="K8" s="11" t="s">
        <v>10</v>
      </c>
      <c r="L8" s="14" t="s">
        <v>51</v>
      </c>
      <c r="M8" s="11" t="s">
        <v>9</v>
      </c>
    </row>
    <row r="9" spans="1:13" x14ac:dyDescent="0.25">
      <c r="A9" s="20" t="s">
        <v>24</v>
      </c>
      <c r="B9" s="20"/>
      <c r="C9" s="18" t="s">
        <v>10</v>
      </c>
      <c r="D9" s="18"/>
      <c r="E9" s="18"/>
      <c r="F9" s="18"/>
      <c r="G9" s="18"/>
      <c r="H9" s="18"/>
      <c r="I9" s="18"/>
      <c r="J9" s="22"/>
      <c r="K9" s="22"/>
      <c r="L9" s="22"/>
      <c r="M9" s="22"/>
    </row>
    <row r="10" spans="1:13" x14ac:dyDescent="0.25">
      <c r="A10" s="20"/>
      <c r="B10" s="20"/>
      <c r="C10" s="18"/>
      <c r="D10" s="18"/>
      <c r="E10" s="18"/>
      <c r="F10" s="18"/>
      <c r="G10" s="18"/>
      <c r="H10" s="18"/>
      <c r="I10" s="18"/>
      <c r="J10" s="23"/>
      <c r="K10" s="23"/>
      <c r="L10" s="23"/>
      <c r="M10" s="23"/>
    </row>
    <row r="11" spans="1:13" ht="30" x14ac:dyDescent="0.25">
      <c r="A11" s="7">
        <v>1</v>
      </c>
      <c r="B11" s="9" t="s">
        <v>28</v>
      </c>
      <c r="C11" s="24" t="s">
        <v>29</v>
      </c>
      <c r="D11" s="4" t="s">
        <v>2</v>
      </c>
      <c r="E11" s="3">
        <v>38047</v>
      </c>
      <c r="F11" s="3">
        <f t="shared" ca="1" si="0"/>
        <v>46153</v>
      </c>
      <c r="G11" s="3">
        <v>46265</v>
      </c>
      <c r="H11" s="3" t="str">
        <f t="shared" ref="H11" ca="1" si="3">DATEDIF(E11,F11,"y") &amp; "y"  &amp; DATEDIF(E11,F11,"YM") &amp; "m"</f>
        <v>22y2m</v>
      </c>
      <c r="I11" s="3" t="str">
        <f t="shared" ref="I11" si="4">DATEDIF(E11,G11,"y") &amp; "y"  &amp; DATEDIF(E11,G11,"YM") &amp; "m"</f>
        <v>22y5m</v>
      </c>
      <c r="J11" s="11" t="s">
        <v>11</v>
      </c>
      <c r="K11" s="14" t="s">
        <v>51</v>
      </c>
      <c r="L11" s="14" t="s">
        <v>51</v>
      </c>
      <c r="M11" s="11" t="s">
        <v>10</v>
      </c>
    </row>
    <row r="12" spans="1:13" ht="25.5" x14ac:dyDescent="0.25">
      <c r="A12" s="7">
        <v>2</v>
      </c>
      <c r="B12" s="9" t="s">
        <v>16</v>
      </c>
      <c r="C12" s="24" t="s">
        <v>0</v>
      </c>
      <c r="D12" s="4" t="s">
        <v>30</v>
      </c>
      <c r="E12" s="3">
        <v>38288</v>
      </c>
      <c r="F12" s="3">
        <f t="shared" ca="1" si="0"/>
        <v>46153</v>
      </c>
      <c r="G12" s="3">
        <v>46265</v>
      </c>
      <c r="H12" s="3" t="str">
        <f t="shared" ref="H12:H13" ca="1" si="5">DATEDIF(E12,F12,"y") &amp; "y"  &amp; DATEDIF(E12,F12,"YM") &amp; "m"</f>
        <v>21y6m</v>
      </c>
      <c r="I12" s="3" t="str">
        <f t="shared" ref="I12:I13" si="6">DATEDIF(E12,G12,"y") &amp; "y"  &amp; DATEDIF(E12,G12,"YM") &amp; "m"</f>
        <v>21y10m</v>
      </c>
      <c r="J12" s="14" t="s">
        <v>51</v>
      </c>
      <c r="K12" s="11" t="s">
        <v>11</v>
      </c>
      <c r="L12" s="14" t="s">
        <v>51</v>
      </c>
      <c r="M12" s="11" t="s">
        <v>10</v>
      </c>
    </row>
    <row r="13" spans="1:13" ht="25.5" x14ac:dyDescent="0.25">
      <c r="A13" s="7">
        <v>3</v>
      </c>
      <c r="B13" s="7" t="s">
        <v>17</v>
      </c>
      <c r="C13" s="24" t="s">
        <v>6</v>
      </c>
      <c r="D13" s="4" t="s">
        <v>1</v>
      </c>
      <c r="E13" s="3">
        <v>38322</v>
      </c>
      <c r="F13" s="3">
        <f t="shared" ca="1" si="0"/>
        <v>46153</v>
      </c>
      <c r="G13" s="3">
        <v>46265</v>
      </c>
      <c r="H13" s="3" t="str">
        <f t="shared" ca="1" si="5"/>
        <v>21y5m</v>
      </c>
      <c r="I13" s="3" t="str">
        <f t="shared" si="6"/>
        <v>21y8m</v>
      </c>
      <c r="J13" s="14" t="s">
        <v>51</v>
      </c>
      <c r="K13" s="11" t="s">
        <v>11</v>
      </c>
      <c r="L13" s="14" t="s">
        <v>51</v>
      </c>
      <c r="M13" s="11" t="s">
        <v>10</v>
      </c>
    </row>
    <row r="14" spans="1:13" x14ac:dyDescent="0.25">
      <c r="A14" s="20" t="s">
        <v>25</v>
      </c>
      <c r="B14" s="20"/>
      <c r="C14" s="18" t="s">
        <v>11</v>
      </c>
      <c r="D14" s="18"/>
      <c r="E14" s="18"/>
      <c r="F14" s="18"/>
      <c r="G14" s="18"/>
      <c r="H14" s="18"/>
      <c r="I14" s="18"/>
      <c r="J14" s="22"/>
      <c r="K14" s="22"/>
      <c r="L14" s="22"/>
      <c r="M14" s="22"/>
    </row>
    <row r="15" spans="1:13" x14ac:dyDescent="0.25">
      <c r="A15" s="20"/>
      <c r="B15" s="20"/>
      <c r="C15" s="18"/>
      <c r="D15" s="18"/>
      <c r="E15" s="18"/>
      <c r="F15" s="18"/>
      <c r="G15" s="18"/>
      <c r="H15" s="18"/>
      <c r="I15" s="18"/>
      <c r="J15" s="23"/>
      <c r="K15" s="23"/>
      <c r="L15" s="23"/>
      <c r="M15" s="23"/>
    </row>
    <row r="16" spans="1:13" ht="30" x14ac:dyDescent="0.25">
      <c r="A16" s="25" t="s">
        <v>54</v>
      </c>
      <c r="B16" s="7" t="s">
        <v>33</v>
      </c>
      <c r="C16" s="24" t="s">
        <v>32</v>
      </c>
      <c r="D16" s="4" t="s">
        <v>2</v>
      </c>
      <c r="E16" s="3">
        <v>39882</v>
      </c>
      <c r="F16" s="3">
        <f t="shared" ca="1" si="0"/>
        <v>46153</v>
      </c>
      <c r="G16" s="3">
        <v>46265</v>
      </c>
      <c r="H16" s="3" t="str">
        <f t="shared" ref="H16" ca="1" si="7">DATEDIF(E16,F16,"y") &amp; "y"  &amp; DATEDIF(E16,F16,"YM") &amp; "m"</f>
        <v>17y2m</v>
      </c>
      <c r="I16" s="3" t="str">
        <f t="shared" ref="I16" si="8">DATEDIF(E16,G16,"y") &amp; "y"  &amp; DATEDIF(E16,G16,"YM") &amp; "m"</f>
        <v>17y5m</v>
      </c>
      <c r="J16" s="14" t="s">
        <v>51</v>
      </c>
      <c r="K16" s="14" t="s">
        <v>51</v>
      </c>
      <c r="L16" s="14" t="s">
        <v>51</v>
      </c>
      <c r="M16" s="11" t="s">
        <v>11</v>
      </c>
    </row>
    <row r="17" spans="1:13" ht="30" x14ac:dyDescent="0.25">
      <c r="A17" s="25" t="s">
        <v>55</v>
      </c>
      <c r="B17" s="7" t="s">
        <v>35</v>
      </c>
      <c r="C17" s="24" t="s">
        <v>34</v>
      </c>
      <c r="D17" s="4" t="s">
        <v>31</v>
      </c>
      <c r="E17" s="3">
        <v>39904</v>
      </c>
      <c r="F17" s="3">
        <f t="shared" ca="1" si="0"/>
        <v>46153</v>
      </c>
      <c r="G17" s="3">
        <v>46265</v>
      </c>
      <c r="H17" s="3" t="str">
        <f t="shared" ref="H17:H22" ca="1" si="9">DATEDIF(E17,F17,"y") &amp; "y"  &amp; DATEDIF(E17,F17,"YM") &amp; "m"</f>
        <v>17y1m</v>
      </c>
      <c r="I17" s="3" t="str">
        <f t="shared" ref="I17:I22" si="10">DATEDIF(E17,G17,"y") &amp; "y"  &amp; DATEDIF(E17,G17,"YM") &amp; "m"</f>
        <v>17y4m</v>
      </c>
      <c r="J17" s="14" t="s">
        <v>51</v>
      </c>
      <c r="K17" s="14" t="s">
        <v>51</v>
      </c>
      <c r="L17" s="14" t="s">
        <v>51</v>
      </c>
      <c r="M17" s="11" t="s">
        <v>11</v>
      </c>
    </row>
    <row r="18" spans="1:13" ht="30" customHeight="1" x14ac:dyDescent="0.25">
      <c r="A18" s="25" t="s">
        <v>56</v>
      </c>
      <c r="B18" s="7" t="s">
        <v>37</v>
      </c>
      <c r="C18" s="24" t="s">
        <v>36</v>
      </c>
      <c r="D18" s="4" t="s">
        <v>30</v>
      </c>
      <c r="E18" s="3">
        <v>39939</v>
      </c>
      <c r="F18" s="3">
        <f t="shared" ca="1" si="0"/>
        <v>46153</v>
      </c>
      <c r="G18" s="3">
        <v>46265</v>
      </c>
      <c r="H18" s="3" t="str">
        <f t="shared" ca="1" si="9"/>
        <v>17y0m</v>
      </c>
      <c r="I18" s="3" t="str">
        <f t="shared" si="10"/>
        <v>17y3m</v>
      </c>
      <c r="J18" s="14" t="s">
        <v>51</v>
      </c>
      <c r="K18" s="14" t="s">
        <v>51</v>
      </c>
      <c r="L18" s="14" t="s">
        <v>51</v>
      </c>
      <c r="M18" s="11" t="s">
        <v>11</v>
      </c>
    </row>
    <row r="19" spans="1:13" ht="30" x14ac:dyDescent="0.25">
      <c r="A19" s="25" t="s">
        <v>57</v>
      </c>
      <c r="B19" s="7" t="s">
        <v>39</v>
      </c>
      <c r="C19" s="24" t="s">
        <v>38</v>
      </c>
      <c r="D19" s="4" t="s">
        <v>40</v>
      </c>
      <c r="E19" s="3">
        <v>40210</v>
      </c>
      <c r="F19" s="3">
        <f t="shared" ca="1" si="0"/>
        <v>46153</v>
      </c>
      <c r="G19" s="3">
        <v>46265</v>
      </c>
      <c r="H19" s="3" t="str">
        <f t="shared" ca="1" si="9"/>
        <v>16y3m</v>
      </c>
      <c r="I19" s="3" t="str">
        <f t="shared" si="10"/>
        <v>16y6m</v>
      </c>
      <c r="J19" s="14" t="s">
        <v>51</v>
      </c>
      <c r="K19" s="14" t="s">
        <v>51</v>
      </c>
      <c r="L19" s="14" t="s">
        <v>51</v>
      </c>
      <c r="M19" s="11" t="s">
        <v>11</v>
      </c>
    </row>
    <row r="20" spans="1:13" ht="30" x14ac:dyDescent="0.25">
      <c r="A20" s="25" t="s">
        <v>58</v>
      </c>
      <c r="B20" s="7" t="s">
        <v>44</v>
      </c>
      <c r="C20" s="24" t="s">
        <v>41</v>
      </c>
      <c r="D20" s="4" t="s">
        <v>31</v>
      </c>
      <c r="E20" s="3">
        <v>40269</v>
      </c>
      <c r="F20" s="3">
        <f t="shared" ca="1" si="0"/>
        <v>46153</v>
      </c>
      <c r="G20" s="3">
        <v>46265</v>
      </c>
      <c r="H20" s="3" t="str">
        <f t="shared" ca="1" si="9"/>
        <v>16y1m</v>
      </c>
      <c r="I20" s="3" t="str">
        <f t="shared" si="10"/>
        <v>16y4m</v>
      </c>
      <c r="J20" s="14" t="s">
        <v>51</v>
      </c>
      <c r="K20" s="14" t="s">
        <v>51</v>
      </c>
      <c r="L20" s="14" t="s">
        <v>51</v>
      </c>
      <c r="M20" s="11" t="s">
        <v>11</v>
      </c>
    </row>
    <row r="21" spans="1:13" ht="30" x14ac:dyDescent="0.25">
      <c r="A21" s="25" t="s">
        <v>59</v>
      </c>
      <c r="B21" s="7" t="s">
        <v>45</v>
      </c>
      <c r="C21" s="24" t="s">
        <v>42</v>
      </c>
      <c r="D21" s="4" t="s">
        <v>40</v>
      </c>
      <c r="E21" s="3">
        <v>40330</v>
      </c>
      <c r="F21" s="3">
        <f t="shared" ca="1" si="0"/>
        <v>46153</v>
      </c>
      <c r="G21" s="3">
        <v>46265</v>
      </c>
      <c r="H21" s="3" t="str">
        <f t="shared" ca="1" si="9"/>
        <v>15y11m</v>
      </c>
      <c r="I21" s="3" t="str">
        <f t="shared" si="10"/>
        <v>16y2m</v>
      </c>
      <c r="J21" s="14" t="s">
        <v>51</v>
      </c>
      <c r="K21" s="14" t="s">
        <v>51</v>
      </c>
      <c r="L21" s="14" t="s">
        <v>51</v>
      </c>
      <c r="M21" s="11" t="s">
        <v>11</v>
      </c>
    </row>
    <row r="22" spans="1:13" ht="30" x14ac:dyDescent="0.25">
      <c r="A22" s="25" t="s">
        <v>60</v>
      </c>
      <c r="B22" s="7" t="s">
        <v>46</v>
      </c>
      <c r="C22" s="24" t="s">
        <v>43</v>
      </c>
      <c r="D22" s="4" t="s">
        <v>47</v>
      </c>
      <c r="E22" s="3">
        <v>40331</v>
      </c>
      <c r="F22" s="3">
        <f t="shared" ca="1" si="0"/>
        <v>46153</v>
      </c>
      <c r="G22" s="3">
        <v>46265</v>
      </c>
      <c r="H22" s="3" t="str">
        <f t="shared" ca="1" si="9"/>
        <v>15y11m</v>
      </c>
      <c r="I22" s="3" t="str">
        <f t="shared" si="10"/>
        <v>16y2m</v>
      </c>
      <c r="J22" s="14" t="s">
        <v>51</v>
      </c>
      <c r="K22" s="14" t="s">
        <v>51</v>
      </c>
      <c r="L22" s="14" t="s">
        <v>51</v>
      </c>
      <c r="M22" s="11" t="s">
        <v>11</v>
      </c>
    </row>
  </sheetData>
  <mergeCells count="25">
    <mergeCell ref="J3:J4"/>
    <mergeCell ref="J5:J6"/>
    <mergeCell ref="J9:J10"/>
    <mergeCell ref="J14:J15"/>
    <mergeCell ref="M3:M4"/>
    <mergeCell ref="M5:M6"/>
    <mergeCell ref="M9:M10"/>
    <mergeCell ref="M14:M15"/>
    <mergeCell ref="K3:K4"/>
    <mergeCell ref="K5:K6"/>
    <mergeCell ref="K9:K10"/>
    <mergeCell ref="K14:K15"/>
    <mergeCell ref="L3:L4"/>
    <mergeCell ref="L5:L6"/>
    <mergeCell ref="L9:L10"/>
    <mergeCell ref="L14:L15"/>
    <mergeCell ref="A1:I1"/>
    <mergeCell ref="C14:I15"/>
    <mergeCell ref="C9:I10"/>
    <mergeCell ref="C5:I6"/>
    <mergeCell ref="A5:B6"/>
    <mergeCell ref="A9:B10"/>
    <mergeCell ref="A14:B15"/>
    <mergeCell ref="A3:B4"/>
    <mergeCell ref="C3:I4"/>
  </mergeCells>
  <phoneticPr fontId="3" type="noConversion"/>
  <pageMargins left="0.7" right="0.7" top="0.75" bottom="0.75" header="0.3" footer="0.3"/>
  <pageSetup scale="8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alpacinos79@outlook.com</cp:lastModifiedBy>
  <cp:lastPrinted>2022-08-03T02:51:23Z</cp:lastPrinted>
  <dcterms:created xsi:type="dcterms:W3CDTF">2022-07-07T07:16:42Z</dcterms:created>
  <dcterms:modified xsi:type="dcterms:W3CDTF">2026-05-11T09:16:35Z</dcterms:modified>
</cp:coreProperties>
</file>